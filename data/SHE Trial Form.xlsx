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hila.perera\AppData\Local\Microsoft\Windows\INetCache\Content.Outlook\970E520U\"/>
    </mc:Choice>
  </mc:AlternateContent>
  <xr:revisionPtr revIDLastSave="0" documentId="13_ncr:1_{8B7FF834-FAE2-487E-8DD6-3ED4A326B99C}" xr6:coauthVersionLast="47" xr6:coauthVersionMax="47" xr10:uidLastSave="{00000000-0000-0000-0000-000000000000}"/>
  <bookViews>
    <workbookView xWindow="-120" yWindow="-120" windowWidth="20730" windowHeight="11160" activeTab="1" xr2:uid="{D3F136FC-0375-4BE3-B7B1-6332C001682A}"/>
  </bookViews>
  <sheets>
    <sheet name="SHE Sheet" sheetId="1" r:id="rId1"/>
    <sheet name="Oracle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" l="1"/>
  <c r="T11" i="1"/>
  <c r="T10" i="1"/>
  <c r="T9" i="1"/>
  <c r="T8" i="1"/>
  <c r="T7" i="1"/>
  <c r="T6" i="1"/>
  <c r="T5" i="1"/>
</calcChain>
</file>

<file path=xl/sharedStrings.xml><?xml version="1.0" encoding="utf-8"?>
<sst xmlns="http://schemas.openxmlformats.org/spreadsheetml/2006/main" count="113" uniqueCount="71">
  <si>
    <t>728472600V</t>
  </si>
  <si>
    <t>R C JAYAWARDANA</t>
  </si>
  <si>
    <t>12/12/1972</t>
  </si>
  <si>
    <t>F</t>
  </si>
  <si>
    <t>Employee</t>
  </si>
  <si>
    <t>FAMILY</t>
  </si>
  <si>
    <t>10/15/2025</t>
  </si>
  <si>
    <t>EXECUTIVE</t>
  </si>
  <si>
    <t>PURIFICATION</t>
  </si>
  <si>
    <t>HAYCARB PLC</t>
  </si>
  <si>
    <t>K K S C JAYATHILAKA</t>
  </si>
  <si>
    <t>03/16/1972</t>
  </si>
  <si>
    <t>M</t>
  </si>
  <si>
    <t>Spouse</t>
  </si>
  <si>
    <t>K K S D JAYATHILAKA</t>
  </si>
  <si>
    <t>12/12/2002</t>
  </si>
  <si>
    <t>Daugther</t>
  </si>
  <si>
    <t>K K V V JAYATHILAKA</t>
  </si>
  <si>
    <t>12/09/2007</t>
  </si>
  <si>
    <t>771912770V</t>
  </si>
  <si>
    <t>R R M M RAJASINGHE</t>
  </si>
  <si>
    <t>07/09/1977</t>
  </si>
  <si>
    <t>04/30/2025</t>
  </si>
  <si>
    <t>R M M SUDANTHI</t>
  </si>
  <si>
    <t>07/28/1979</t>
  </si>
  <si>
    <t>920272363V</t>
  </si>
  <si>
    <t>W L A M SIRIWARDANA</t>
  </si>
  <si>
    <t>01/27/1992</t>
  </si>
  <si>
    <t>10/10/2025</t>
  </si>
  <si>
    <t>K K T D ABEYWICKARAMA</t>
  </si>
  <si>
    <t>05/28/1980</t>
  </si>
  <si>
    <t>NIC NUMBER</t>
  </si>
  <si>
    <t>NAME</t>
  </si>
  <si>
    <t>DOB</t>
  </si>
  <si>
    <t>GENDER</t>
  </si>
  <si>
    <t>RELATION</t>
  </si>
  <si>
    <t>CATEGORY</t>
  </si>
  <si>
    <t>EFFECTIVE DATE</t>
  </si>
  <si>
    <t>GRADE</t>
  </si>
  <si>
    <t>2025-2026</t>
  </si>
  <si>
    <t>SECTOR</t>
  </si>
  <si>
    <t>SUBSIDIARY</t>
  </si>
  <si>
    <t>2026/2027 Limit</t>
  </si>
  <si>
    <t>BANK DETAILS</t>
  </si>
  <si>
    <t>Inclusion/Deletion/Changes</t>
  </si>
  <si>
    <t>Any notes</t>
  </si>
  <si>
    <t>VOLUNTARY ENHANCEMENT</t>
  </si>
  <si>
    <t>ELIGIBLE LIMIT</t>
  </si>
  <si>
    <t>TOTAL INDOOR LIMIT</t>
  </si>
  <si>
    <t>OPD LIMIT</t>
  </si>
  <si>
    <t>TOTAL PREMIUM</t>
  </si>
  <si>
    <t>Grade</t>
  </si>
  <si>
    <t>Basis of Cover</t>
  </si>
  <si>
    <t>Company Eligible Limit as per Designation (A)</t>
  </si>
  <si>
    <t>Employee Voluntary Enhance Limit (B)</t>
  </si>
  <si>
    <t>Total Indoor Limit (A+B)</t>
  </si>
  <si>
    <t xml:space="preserve">Bank Name </t>
  </si>
  <si>
    <t>Bank Code</t>
  </si>
  <si>
    <t xml:space="preserve">Branch name </t>
  </si>
  <si>
    <t>Branch Code</t>
  </si>
  <si>
    <t xml:space="preserve">Account number </t>
  </si>
  <si>
    <t>⬇ PLEASE FILL FOLLOWING SECTIONS</t>
  </si>
  <si>
    <t>Walauwaththa Liyanage Ashan Madusanka</t>
  </si>
  <si>
    <t>Siriwardana</t>
  </si>
  <si>
    <t>ams@haycarb.com</t>
  </si>
  <si>
    <t>Rajasinghe Rajakaruna Manamendralage Mahinda</t>
  </si>
  <si>
    <t>Rajasinghe</t>
  </si>
  <si>
    <t>mahinda.rajasinghe@haycarb.com</t>
  </si>
  <si>
    <t>Rasika Chandanie</t>
  </si>
  <si>
    <t>Jayawardena</t>
  </si>
  <si>
    <t>rcj@haycarb.com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</si>
</sst>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Trebuchet MS"/>
      <family val="2"/>
    </font>
    <font>
      <b/>
      <sz val="9"/>
      <name val="Trebuchet MS"/>
      <family val="2"/>
    </font>
    <font>
      <b/>
      <sz val="9"/>
      <color indexed="9"/>
      <name val="Trebuchet MS"/>
      <family val="2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rgb="FFFF0000"/>
      <name val="Yu Gothic UI Semilight"/>
      <family val="2"/>
    </font>
    <font>
      <sz val="8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3" fontId="2" fillId="0" borderId="1" xfId="1" applyFont="1" applyFill="1" applyBorder="1" applyAlignment="1">
      <alignment horizontal="center" vertical="center"/>
    </xf>
    <xf numFmtId="43" fontId="2" fillId="0" borderId="1" xfId="1" applyFont="1" applyBorder="1" applyAlignment="1">
      <alignment vertical="center"/>
    </xf>
    <xf numFmtId="43" fontId="2" fillId="0" borderId="1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3" borderId="7" xfId="0" applyFont="1" applyFill="1" applyBorder="1" applyAlignment="1">
      <alignment horizontal="left" vertical="center" wrapText="1" readingOrder="1"/>
    </xf>
    <xf numFmtId="0" fontId="4" fillId="3" borderId="7" xfId="0" applyFont="1" applyFill="1" applyBorder="1" applyAlignment="1">
      <alignment vertical="center" wrapText="1" readingOrder="1"/>
    </xf>
    <xf numFmtId="0" fontId="4" fillId="3" borderId="8" xfId="0" applyFont="1" applyFill="1" applyBorder="1" applyAlignment="1">
      <alignment vertical="center" wrapText="1" readingOrder="1"/>
    </xf>
    <xf numFmtId="43" fontId="3" fillId="2" borderId="1" xfId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left" vertical="center" wrapText="1"/>
    </xf>
    <xf numFmtId="49" fontId="6" fillId="6" borderId="0" xfId="0" applyNumberFormat="1" applyFont="1" applyFill="1" applyAlignment="1">
      <alignment horizontal="left" vertical="center"/>
    </xf>
    <xf numFmtId="0" fontId="6" fillId="6" borderId="0" xfId="0" applyFont="1" applyFill="1"/>
    <xf numFmtId="0" fontId="2" fillId="0" borderId="0" xfId="0" applyFont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43" fontId="2" fillId="0" borderId="0" xfId="1" applyFont="1" applyAlignment="1">
      <alignment vertical="center"/>
    </xf>
    <xf numFmtId="43" fontId="2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7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8" fillId="8" borderId="13" xfId="0" applyFont="1" applyFill="1" applyBorder="1" applyAlignment="1">
      <alignment horizontal="left" vertical="top" wrapText="1"/>
    </xf>
    <xf numFmtId="0" fontId="4" fillId="5" borderId="5" xfId="0" applyFont="1" applyFill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/>
    </xf>
    <xf numFmtId="43" fontId="3" fillId="2" borderId="5" xfId="1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AFA6-28C7-4250-9BFE-C8EF472F43BF}">
  <dimension ref="A1:AA12"/>
  <sheetViews>
    <sheetView topLeftCell="I1" workbookViewId="0">
      <selection activeCell="C5" sqref="C5"/>
    </sheetView>
  </sheetViews>
  <sheetFormatPr defaultRowHeight="15" x14ac:dyDescent="0.25"/>
  <cols>
    <col min="11" max="11" width="10.140625" bestFit="1" customWidth="1"/>
    <col min="13" max="13" width="10.140625" bestFit="1" customWidth="1"/>
  </cols>
  <sheetData>
    <row r="1" spans="1:27" ht="16.5" x14ac:dyDescent="0.35">
      <c r="A1" s="21"/>
      <c r="B1" s="22"/>
      <c r="C1" s="23"/>
      <c r="D1" s="23"/>
      <c r="E1" s="23"/>
      <c r="F1" s="23"/>
      <c r="G1" s="23"/>
      <c r="H1" s="23"/>
      <c r="I1" s="24"/>
      <c r="J1" s="24"/>
      <c r="K1" s="25"/>
      <c r="L1" s="25"/>
      <c r="M1" s="25"/>
      <c r="N1" s="26"/>
      <c r="O1" s="27"/>
      <c r="P1" s="28" t="s">
        <v>61</v>
      </c>
      <c r="Q1" s="28"/>
      <c r="R1" s="28"/>
      <c r="S1" s="28"/>
      <c r="T1" s="28"/>
      <c r="U1" s="28"/>
      <c r="V1" s="29"/>
      <c r="W1" s="29"/>
      <c r="X1" s="29"/>
      <c r="Y1" s="29"/>
      <c r="Z1" s="29"/>
      <c r="AA1" s="29"/>
    </row>
    <row r="2" spans="1:27" ht="30" x14ac:dyDescent="0.25">
      <c r="A2" s="35" t="s">
        <v>31</v>
      </c>
      <c r="B2" s="36" t="s">
        <v>32</v>
      </c>
      <c r="C2" s="37" t="s">
        <v>33</v>
      </c>
      <c r="D2" s="37" t="s">
        <v>34</v>
      </c>
      <c r="E2" s="37" t="s">
        <v>35</v>
      </c>
      <c r="F2" s="37" t="s">
        <v>36</v>
      </c>
      <c r="G2" s="37" t="s">
        <v>37</v>
      </c>
      <c r="H2" s="36" t="s">
        <v>38</v>
      </c>
      <c r="I2" s="38" t="s">
        <v>39</v>
      </c>
      <c r="J2" s="38"/>
      <c r="K2" s="38"/>
      <c r="L2" s="38"/>
      <c r="M2" s="38"/>
      <c r="N2" s="39" t="s">
        <v>40</v>
      </c>
      <c r="O2" s="41" t="s">
        <v>41</v>
      </c>
      <c r="P2" s="13" t="s">
        <v>42</v>
      </c>
      <c r="Q2" s="14"/>
      <c r="R2" s="14"/>
      <c r="S2" s="14"/>
      <c r="T2" s="15"/>
      <c r="U2" s="42" t="s">
        <v>43</v>
      </c>
      <c r="V2" s="42"/>
      <c r="W2" s="42"/>
      <c r="X2" s="42"/>
      <c r="Y2" s="42"/>
      <c r="Z2" s="31" t="s">
        <v>44</v>
      </c>
      <c r="AA2" s="33" t="s">
        <v>45</v>
      </c>
    </row>
    <row r="3" spans="1:27" ht="90" x14ac:dyDescent="0.25">
      <c r="A3" s="35"/>
      <c r="B3" s="36"/>
      <c r="C3" s="37"/>
      <c r="D3" s="37"/>
      <c r="E3" s="37"/>
      <c r="F3" s="37"/>
      <c r="G3" s="37"/>
      <c r="H3" s="36"/>
      <c r="I3" s="16" t="s">
        <v>46</v>
      </c>
      <c r="J3" s="16" t="s">
        <v>47</v>
      </c>
      <c r="K3" s="16" t="s">
        <v>48</v>
      </c>
      <c r="L3" s="16" t="s">
        <v>49</v>
      </c>
      <c r="M3" s="16" t="s">
        <v>50</v>
      </c>
      <c r="N3" s="40"/>
      <c r="O3" s="37"/>
      <c r="P3" s="17" t="s">
        <v>51</v>
      </c>
      <c r="Q3" s="17" t="s">
        <v>52</v>
      </c>
      <c r="R3" s="18" t="s">
        <v>53</v>
      </c>
      <c r="S3" s="18" t="s">
        <v>54</v>
      </c>
      <c r="T3" s="18" t="s">
        <v>55</v>
      </c>
      <c r="U3" s="19" t="s">
        <v>56</v>
      </c>
      <c r="V3" s="19" t="s">
        <v>57</v>
      </c>
      <c r="W3" s="19" t="s">
        <v>58</v>
      </c>
      <c r="X3" s="19" t="s">
        <v>59</v>
      </c>
      <c r="Y3" s="20" t="s">
        <v>60</v>
      </c>
      <c r="Z3" s="32"/>
      <c r="AA3" s="34"/>
    </row>
    <row r="5" spans="1:27" ht="45" x14ac:dyDescent="0.25">
      <c r="A5" s="1" t="s">
        <v>0</v>
      </c>
      <c r="B5" s="2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3">
        <v>0</v>
      </c>
      <c r="J5" s="3">
        <v>0</v>
      </c>
      <c r="K5" s="4">
        <v>800000</v>
      </c>
      <c r="L5" s="4">
        <v>0</v>
      </c>
      <c r="M5" s="4">
        <v>120065.12</v>
      </c>
      <c r="N5" s="5" t="s">
        <v>8</v>
      </c>
      <c r="O5" s="6" t="s">
        <v>9</v>
      </c>
      <c r="P5" s="7"/>
      <c r="Q5" s="8"/>
      <c r="R5" s="9"/>
      <c r="S5" s="9"/>
      <c r="T5" s="10">
        <f t="shared" ref="T5:T12" si="0">R5+S5</f>
        <v>0</v>
      </c>
      <c r="U5" s="9"/>
      <c r="V5" s="9"/>
      <c r="W5" s="9"/>
      <c r="X5" s="9"/>
      <c r="Y5" s="9"/>
      <c r="Z5" s="11"/>
      <c r="AA5" s="12"/>
    </row>
    <row r="6" spans="1:27" ht="45" x14ac:dyDescent="0.25">
      <c r="A6" s="1" t="s">
        <v>0</v>
      </c>
      <c r="B6" s="2" t="s">
        <v>10</v>
      </c>
      <c r="C6" s="1" t="s">
        <v>11</v>
      </c>
      <c r="D6" s="1" t="s">
        <v>12</v>
      </c>
      <c r="E6" s="1" t="s">
        <v>13</v>
      </c>
      <c r="F6" s="1"/>
      <c r="G6" s="1" t="s">
        <v>6</v>
      </c>
      <c r="H6" s="1"/>
      <c r="I6" s="3">
        <v>0</v>
      </c>
      <c r="J6" s="3">
        <v>0</v>
      </c>
      <c r="K6" s="4">
        <v>0</v>
      </c>
      <c r="L6" s="4">
        <v>0</v>
      </c>
      <c r="M6" s="4">
        <v>0</v>
      </c>
      <c r="N6" s="5" t="s">
        <v>8</v>
      </c>
      <c r="O6" s="6" t="s">
        <v>9</v>
      </c>
      <c r="P6" s="7"/>
      <c r="Q6" s="8"/>
      <c r="R6" s="9"/>
      <c r="S6" s="9"/>
      <c r="T6" s="10">
        <f t="shared" si="0"/>
        <v>0</v>
      </c>
      <c r="U6" s="9"/>
      <c r="V6" s="9"/>
      <c r="W6" s="9"/>
      <c r="X6" s="9"/>
      <c r="Y6" s="9"/>
      <c r="Z6" s="11"/>
      <c r="AA6" s="12"/>
    </row>
    <row r="7" spans="1:27" ht="45" x14ac:dyDescent="0.25">
      <c r="A7" s="1" t="s">
        <v>0</v>
      </c>
      <c r="B7" s="2" t="s">
        <v>14</v>
      </c>
      <c r="C7" s="1" t="s">
        <v>15</v>
      </c>
      <c r="D7" s="1" t="s">
        <v>3</v>
      </c>
      <c r="E7" s="1" t="s">
        <v>16</v>
      </c>
      <c r="F7" s="1"/>
      <c r="G7" s="1" t="s">
        <v>6</v>
      </c>
      <c r="H7" s="1"/>
      <c r="I7" s="3">
        <v>0</v>
      </c>
      <c r="J7" s="3">
        <v>0</v>
      </c>
      <c r="K7" s="4">
        <v>0</v>
      </c>
      <c r="L7" s="4">
        <v>0</v>
      </c>
      <c r="M7" s="4">
        <v>0</v>
      </c>
      <c r="N7" s="5" t="s">
        <v>8</v>
      </c>
      <c r="O7" s="6" t="s">
        <v>9</v>
      </c>
      <c r="P7" s="7"/>
      <c r="Q7" s="8"/>
      <c r="R7" s="9"/>
      <c r="S7" s="9"/>
      <c r="T7" s="10">
        <f t="shared" si="0"/>
        <v>0</v>
      </c>
      <c r="U7" s="9"/>
      <c r="V7" s="9"/>
      <c r="W7" s="9"/>
      <c r="X7" s="9"/>
      <c r="Y7" s="9"/>
      <c r="Z7" s="11"/>
      <c r="AA7" s="12"/>
    </row>
    <row r="8" spans="1:27" ht="45" x14ac:dyDescent="0.25">
      <c r="A8" s="1" t="s">
        <v>0</v>
      </c>
      <c r="B8" s="2" t="s">
        <v>17</v>
      </c>
      <c r="C8" s="1" t="s">
        <v>18</v>
      </c>
      <c r="D8" s="1" t="s">
        <v>3</v>
      </c>
      <c r="E8" s="1" t="s">
        <v>16</v>
      </c>
      <c r="F8" s="1"/>
      <c r="G8" s="1" t="s">
        <v>6</v>
      </c>
      <c r="H8" s="1"/>
      <c r="I8" s="3">
        <v>0</v>
      </c>
      <c r="J8" s="3">
        <v>0</v>
      </c>
      <c r="K8" s="4">
        <v>0</v>
      </c>
      <c r="L8" s="4">
        <v>0</v>
      </c>
      <c r="M8" s="4">
        <v>0</v>
      </c>
      <c r="N8" s="5" t="s">
        <v>8</v>
      </c>
      <c r="O8" s="6" t="s">
        <v>9</v>
      </c>
      <c r="P8" s="7"/>
      <c r="Q8" s="8"/>
      <c r="R8" s="9"/>
      <c r="S8" s="9"/>
      <c r="T8" s="10">
        <f t="shared" si="0"/>
        <v>0</v>
      </c>
      <c r="U8" s="9"/>
      <c r="V8" s="9"/>
      <c r="W8" s="9"/>
      <c r="X8" s="9"/>
      <c r="Y8" s="9"/>
      <c r="Z8" s="11"/>
      <c r="AA8" s="12"/>
    </row>
    <row r="9" spans="1:27" ht="45" x14ac:dyDescent="0.25">
      <c r="A9" s="1" t="s">
        <v>19</v>
      </c>
      <c r="B9" s="2" t="s">
        <v>20</v>
      </c>
      <c r="C9" s="1" t="s">
        <v>21</v>
      </c>
      <c r="D9" s="1" t="s">
        <v>12</v>
      </c>
      <c r="E9" s="1" t="s">
        <v>4</v>
      </c>
      <c r="F9" s="1" t="s">
        <v>5</v>
      </c>
      <c r="G9" s="1" t="s">
        <v>22</v>
      </c>
      <c r="H9" s="1" t="s">
        <v>7</v>
      </c>
      <c r="I9" s="3">
        <v>0</v>
      </c>
      <c r="J9" s="3">
        <v>0</v>
      </c>
      <c r="K9" s="4">
        <v>400000</v>
      </c>
      <c r="L9" s="4">
        <v>0</v>
      </c>
      <c r="M9" s="4">
        <v>71570</v>
      </c>
      <c r="N9" s="5" t="s">
        <v>8</v>
      </c>
      <c r="O9" s="6" t="s">
        <v>9</v>
      </c>
      <c r="P9" s="7"/>
      <c r="Q9" s="8"/>
      <c r="R9" s="9"/>
      <c r="S9" s="9"/>
      <c r="T9" s="10">
        <f t="shared" si="0"/>
        <v>0</v>
      </c>
      <c r="U9" s="9"/>
      <c r="V9" s="9"/>
      <c r="W9" s="9"/>
      <c r="X9" s="9"/>
      <c r="Y9" s="9"/>
      <c r="Z9" s="11"/>
      <c r="AA9" s="12"/>
    </row>
    <row r="10" spans="1:27" ht="45" x14ac:dyDescent="0.25">
      <c r="A10" s="1" t="s">
        <v>19</v>
      </c>
      <c r="B10" s="2" t="s">
        <v>23</v>
      </c>
      <c r="C10" s="1" t="s">
        <v>24</v>
      </c>
      <c r="D10" s="1" t="s">
        <v>3</v>
      </c>
      <c r="E10" s="1" t="s">
        <v>13</v>
      </c>
      <c r="F10" s="1"/>
      <c r="G10" s="1" t="s">
        <v>22</v>
      </c>
      <c r="H10" s="1"/>
      <c r="I10" s="3">
        <v>0</v>
      </c>
      <c r="J10" s="3">
        <v>0</v>
      </c>
      <c r="K10" s="4">
        <v>0</v>
      </c>
      <c r="L10" s="4">
        <v>0</v>
      </c>
      <c r="M10" s="4">
        <v>0</v>
      </c>
      <c r="N10" s="5" t="s">
        <v>8</v>
      </c>
      <c r="O10" s="6" t="s">
        <v>9</v>
      </c>
      <c r="P10" s="7"/>
      <c r="Q10" s="8"/>
      <c r="R10" s="9"/>
      <c r="S10" s="9"/>
      <c r="T10" s="10">
        <f t="shared" si="0"/>
        <v>0</v>
      </c>
      <c r="U10" s="9"/>
      <c r="V10" s="9"/>
      <c r="W10" s="9"/>
      <c r="X10" s="9"/>
      <c r="Y10" s="9"/>
      <c r="Z10" s="11"/>
      <c r="AA10" s="12"/>
    </row>
    <row r="11" spans="1:27" ht="45" x14ac:dyDescent="0.25">
      <c r="A11" s="1" t="s">
        <v>25</v>
      </c>
      <c r="B11" s="2" t="s">
        <v>26</v>
      </c>
      <c r="C11" s="1" t="s">
        <v>27</v>
      </c>
      <c r="D11" s="1" t="s">
        <v>12</v>
      </c>
      <c r="E11" s="1" t="s">
        <v>4</v>
      </c>
      <c r="F11" s="1" t="s">
        <v>5</v>
      </c>
      <c r="G11" s="1" t="s">
        <v>28</v>
      </c>
      <c r="H11" s="1" t="s">
        <v>7</v>
      </c>
      <c r="I11" s="3">
        <v>0</v>
      </c>
      <c r="J11" s="3">
        <v>0</v>
      </c>
      <c r="K11" s="4">
        <v>600000</v>
      </c>
      <c r="L11" s="4">
        <v>0</v>
      </c>
      <c r="M11" s="4">
        <v>89055.81</v>
      </c>
      <c r="N11" s="5" t="s">
        <v>8</v>
      </c>
      <c r="O11" s="6" t="s">
        <v>9</v>
      </c>
      <c r="P11" s="7"/>
      <c r="Q11" s="8"/>
      <c r="R11" s="9"/>
      <c r="S11" s="9"/>
      <c r="T11" s="10">
        <f t="shared" si="0"/>
        <v>0</v>
      </c>
      <c r="U11" s="9"/>
      <c r="V11" s="9"/>
      <c r="W11" s="9"/>
      <c r="X11" s="9"/>
      <c r="Y11" s="9"/>
      <c r="Z11" s="11"/>
      <c r="AA11" s="12"/>
    </row>
    <row r="12" spans="1:27" ht="45" x14ac:dyDescent="0.25">
      <c r="A12" s="1" t="s">
        <v>25</v>
      </c>
      <c r="B12" s="2" t="s">
        <v>29</v>
      </c>
      <c r="C12" s="1" t="s">
        <v>30</v>
      </c>
      <c r="D12" s="1" t="s">
        <v>3</v>
      </c>
      <c r="E12" s="1" t="s">
        <v>13</v>
      </c>
      <c r="F12" s="1"/>
      <c r="G12" s="1" t="s">
        <v>28</v>
      </c>
      <c r="H12" s="1"/>
      <c r="I12" s="3">
        <v>0</v>
      </c>
      <c r="J12" s="3">
        <v>0</v>
      </c>
      <c r="K12" s="4">
        <v>0</v>
      </c>
      <c r="L12" s="4">
        <v>0</v>
      </c>
      <c r="M12" s="4">
        <v>0</v>
      </c>
      <c r="N12" s="5" t="s">
        <v>8</v>
      </c>
      <c r="O12" s="6" t="s">
        <v>9</v>
      </c>
      <c r="P12" s="7"/>
      <c r="Q12" s="8"/>
      <c r="R12" s="9"/>
      <c r="S12" s="9"/>
      <c r="T12" s="10">
        <f t="shared" si="0"/>
        <v>0</v>
      </c>
      <c r="U12" s="9"/>
      <c r="V12" s="9"/>
      <c r="W12" s="9"/>
      <c r="X12" s="9"/>
      <c r="Y12" s="9"/>
      <c r="Z12" s="11"/>
      <c r="AA12" s="12"/>
    </row>
  </sheetData>
  <mergeCells count="14">
    <mergeCell ref="Z2:Z3"/>
    <mergeCell ref="AA2:AA3"/>
    <mergeCell ref="A2:A3"/>
    <mergeCell ref="B2:B3"/>
    <mergeCell ref="C2:C3"/>
    <mergeCell ref="D2:D3"/>
    <mergeCell ref="E2:E3"/>
    <mergeCell ref="F2:F3"/>
    <mergeCell ref="G2:G3"/>
    <mergeCell ref="H2:H3"/>
    <mergeCell ref="I2:M2"/>
    <mergeCell ref="N2:N3"/>
    <mergeCell ref="O2:O3"/>
    <mergeCell ref="U2:Y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F9D4-3A36-481F-BB70-9942A010F7AE}">
  <dimension ref="B2:E4"/>
  <sheetViews>
    <sheetView tabSelected="1" workbookViewId="0">
      <selection activeCell="G7" sqref="G7"/>
    </sheetView>
  </sheetViews>
  <sheetFormatPr defaultRowHeight="15" x14ac:dyDescent="0.25"/>
  <sheetData>
    <row r="2" spans="2:5" ht="56.25" x14ac:dyDescent="0.25">
      <c r="B2" s="30" t="s">
        <v>62</v>
      </c>
      <c r="C2" s="30" t="s">
        <v>63</v>
      </c>
      <c r="D2" s="30" t="s">
        <v>64</v>
      </c>
      <c r="E2" s="30" t="s">
        <v>25</v>
      </c>
    </row>
    <row r="3" spans="2:5" ht="56.25" x14ac:dyDescent="0.25">
      <c r="B3" s="30" t="s">
        <v>65</v>
      </c>
      <c r="C3" s="30" t="s">
        <v>66</v>
      </c>
      <c r="D3" s="30" t="s">
        <v>67</v>
      </c>
      <c r="E3" s="30" t="s">
        <v>19</v>
      </c>
    </row>
    <row r="4" spans="2:5" ht="22.5" x14ac:dyDescent="0.25">
      <c r="B4" s="30" t="s">
        <v>68</v>
      </c>
      <c r="C4" s="30" t="s">
        <v>69</v>
      </c>
      <c r="D4" s="30" t="s">
        <v>70</v>
      </c>
      <c r="E4" s="30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f4ba6ac-c9c0-4c5e-a531-736e3faaed7d}" enabled="1" method="Privileged" siteId="{2081ade3-b577-421e-9935-31961e4ff17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 Sheet</vt:lpstr>
      <vt:lpstr>Oracle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Machila Perera</dc:creator>
  <cp:lastModifiedBy>Machila Perera</cp:lastModifiedBy>
  <dcterms:created xsi:type="dcterms:W3CDTF">2026-03-31T07:11:51Z</dcterms:created>
  <dcterms:modified xsi:type="dcterms:W3CDTF">2026-03-31T08:33:22Z</dcterms:modified>
</cp:coreProperties>
</file>